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fund_scraper\"/>
    </mc:Choice>
  </mc:AlternateContent>
  <xr:revisionPtr revIDLastSave="0" documentId="13_ncr:1_{2AF7B42A-4C52-4ED4-9E87-2ED75BD7982B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CPI_Benchmarks" sheetId="1" r:id="rId1"/>
    <sheet name="GICS_Sectors" sheetId="2" r:id="rId2"/>
    <sheet name="Other_Manual" sheetId="3" r:id="rId3"/>
    <sheet name="Instru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3" i="1"/>
  <c r="D5" i="1"/>
  <c r="D4" i="1"/>
  <c r="D3" i="1"/>
  <c r="C5" i="1"/>
  <c r="C4" i="1"/>
  <c r="C3" i="1"/>
  <c r="B5" i="1"/>
  <c r="B4" i="1"/>
  <c r="B3" i="1"/>
  <c r="D2" i="1"/>
  <c r="C2" i="1"/>
</calcChain>
</file>

<file path=xl/sharedStrings.xml><?xml version="1.0" encoding="utf-8"?>
<sst xmlns="http://schemas.openxmlformats.org/spreadsheetml/2006/main" count="95" uniqueCount="63">
  <si>
    <t>Fund Name</t>
  </si>
  <si>
    <t>1 Mth</t>
  </si>
  <si>
    <t>3 Mth</t>
  </si>
  <si>
    <t>1 Yr pa</t>
  </si>
  <si>
    <t>3 Yr pa</t>
  </si>
  <si>
    <t>Last Updated</t>
  </si>
  <si>
    <t>Notes</t>
  </si>
  <si>
    <t>Australian CPI (non-seasonal adj)</t>
  </si>
  <si>
    <t>Australian CPI+1% (non-seasonal adj)</t>
  </si>
  <si>
    <t>CPI + 1%</t>
  </si>
  <si>
    <t>Australian CPI+2% (non-seasonal adj)</t>
  </si>
  <si>
    <t>CPI + 2%</t>
  </si>
  <si>
    <t>Australian CPI+3% (non-seasonal adj)</t>
  </si>
  <si>
    <t>CPI + 3%</t>
  </si>
  <si>
    <t>5 Yr pa</t>
  </si>
  <si>
    <t>10 Yr pa</t>
  </si>
  <si>
    <t>S&amp;P/ASX All Ordinaries Gold Accumulation</t>
  </si>
  <si>
    <t>2025-12-10</t>
  </si>
  <si>
    <t>S&amp;P/ASX 200 Accumulation</t>
  </si>
  <si>
    <t>S&amp;P/ASX 200 A-REIT Accumulation</t>
  </si>
  <si>
    <t>S&amp;P/ASX 200 Telecoms Accumulation</t>
  </si>
  <si>
    <t>S&amp;P/ASX 200 Discretion Accumulation</t>
  </si>
  <si>
    <t>S&amp;P/ASX 200 Staples Accumulation</t>
  </si>
  <si>
    <t>S&amp;P/ASX 200 Energy Accumulation</t>
  </si>
  <si>
    <t>S&amp;P/ASX 200 Fin-x-Prop Accumulation</t>
  </si>
  <si>
    <t>S&amp;P/ASX 200 HealthCare Accumulation</t>
  </si>
  <si>
    <t>S&amp;P/ASX 200 Industrial Accumulation</t>
  </si>
  <si>
    <t>S&amp;P/ASX 200 Info Tech Accumulation</t>
  </si>
  <si>
    <t>S&amp;P/ASX 200 Materials Accumulation</t>
  </si>
  <si>
    <t>S&amp;P/ASX 200 Utilities Accumulation</t>
  </si>
  <si>
    <t>S&amp;P/ASX Emerging Companies Accumulation</t>
  </si>
  <si>
    <t>S&amp;P/ASX Midcap 50 Accumulation</t>
  </si>
  <si>
    <t>S&amp;P/ASX Small Ords Accumulation</t>
  </si>
  <si>
    <t>Spot Gold - AU$ / Oz</t>
  </si>
  <si>
    <t>Auto-fetched by fetch_benchmarks.py</t>
  </si>
  <si>
    <t>Spot Silver - AU$ / Oz</t>
  </si>
  <si>
    <t>Bitcoin(BTC) Price in AUD</t>
  </si>
  <si>
    <t>Ethereum(ETH) Price in AUD</t>
  </si>
  <si>
    <t>GDX - VanEck Gold Miners ETF</t>
  </si>
  <si>
    <t>MSCI World ex Australia Index (AUD)</t>
  </si>
  <si>
    <t>Manual if needed</t>
  </si>
  <si>
    <t>MANUAL DATA ENTRY GUIDE</t>
  </si>
  <si>
    <t>This file contains benchmark data that isn't scraped from InvestSmart.</t>
  </si>
  <si>
    <t>UPDATE FREQUENCY:</t>
  </si>
  <si>
    <t>• CPI_Benchmarks: Quarterly (after ABS release)</t>
  </si>
  <si>
    <t>• GICS_Sectors: Monthly (from S&amp;P PDFs using your existing pdfscraper)</t>
  </si>
  <si>
    <t>• Other_Manual: Only if fetch_benchmarks.py fails</t>
  </si>
  <si>
    <t>HOW IT WORKS:</t>
  </si>
  <si>
    <t>1. Run fetch_benchmarks.py → gets Gold, Silver, BTC, ETH automatically</t>
  </si>
  <si>
    <t>2. Update this file with CPI and GICS data</t>
  </si>
  <si>
    <t>3. Run generate_newsletter.py → merges everything together</t>
  </si>
  <si>
    <t>CPI CALCULATION:</t>
  </si>
  <si>
    <t>• Get latest CPI from ABS (quarterly)</t>
  </si>
  <si>
    <t>• 1 Mth = monthly CPI / 12</t>
  </si>
  <si>
    <t>• 3 Mth = quarterly CPI / 4 * 3</t>
  </si>
  <si>
    <t>• 1 Yr pa = annual CPI</t>
  </si>
  <si>
    <t>• 3 Yr pa = 3-year annualized CPI</t>
  </si>
  <si>
    <t>GICS DATA:</t>
  </si>
  <si>
    <t>• Download S&amp;P sector PDFs</t>
  </si>
  <si>
    <t>• Run pdfscraper.py to extract Total Return row</t>
  </si>
  <si>
    <t>• Copy values here</t>
  </si>
  <si>
    <t>Update monthly from ABS</t>
  </si>
  <si>
    <t>Phoenix Growth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</si>
</sst>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F5" sqref="F5"/>
    </sheetView>
  </sheetViews>
  <sheetFormatPr defaultRowHeight="14.4" x14ac:dyDescent="0.3"/>
  <cols>
    <col min="6" max="6" width="10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3">
        <v>-0.01</v>
      </c>
      <c r="C2" s="3">
        <f>0.00361336946702795*100</f>
        <v>0.36133694670279504</v>
      </c>
      <c r="D2" s="3">
        <f>0.0381021594684385*100</f>
        <v>3.8102159468438499</v>
      </c>
      <c r="E2" s="3">
        <v>3.78</v>
      </c>
      <c r="F2" s="2">
        <v>45991</v>
      </c>
      <c r="G2" t="s">
        <v>61</v>
      </c>
    </row>
    <row r="3" spans="1:7" x14ac:dyDescent="0.3">
      <c r="A3" t="s">
        <v>8</v>
      </c>
      <c r="B3" s="3">
        <f>$B$2+(1*(1/12))</f>
        <v>7.3333333333333334E-2</v>
      </c>
      <c r="C3" s="3">
        <f>$C$2+(1*(3/12))</f>
        <v>0.61133694670279504</v>
      </c>
      <c r="D3" s="3">
        <f>$D$2+(1)</f>
        <v>4.8102159468438499</v>
      </c>
      <c r="E3" s="3">
        <f>$E$2+(1)</f>
        <v>4.7799999999999994</v>
      </c>
      <c r="F3" s="2">
        <v>45991</v>
      </c>
      <c r="G3" t="s">
        <v>9</v>
      </c>
    </row>
    <row r="4" spans="1:7" x14ac:dyDescent="0.3">
      <c r="A4" t="s">
        <v>10</v>
      </c>
      <c r="B4" s="3">
        <f>$B$2+(2*(1/12))</f>
        <v>0.15666666666666665</v>
      </c>
      <c r="C4" s="3">
        <f>$C$2+(2*(3/12))</f>
        <v>0.86133694670279504</v>
      </c>
      <c r="D4" s="3">
        <f>$D$2+(2)</f>
        <v>5.8102159468438499</v>
      </c>
      <c r="E4" s="3">
        <f>$E$2+(2)</f>
        <v>5.7799999999999994</v>
      </c>
      <c r="F4" s="2">
        <v>45991</v>
      </c>
      <c r="G4" t="s">
        <v>11</v>
      </c>
    </row>
    <row r="5" spans="1:7" x14ac:dyDescent="0.3">
      <c r="A5" t="s">
        <v>12</v>
      </c>
      <c r="B5" s="3">
        <f>$B$2+(3*(1/12))</f>
        <v>0.24</v>
      </c>
      <c r="C5" s="3">
        <f>$C$2+(3*(3/12))</f>
        <v>1.1113369467027949</v>
      </c>
      <c r="D5" s="3">
        <f>$D$2+(3)</f>
        <v>6.8102159468438499</v>
      </c>
      <c r="E5" s="3">
        <f>$E$2+(3)</f>
        <v>6.7799999999999994</v>
      </c>
      <c r="F5" s="2">
        <v>45991</v>
      </c>
      <c r="G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H2" sqref="H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15</v>
      </c>
      <c r="H1" s="1" t="s">
        <v>5</v>
      </c>
    </row>
    <row r="2" spans="1:8" x14ac:dyDescent="0.3">
      <c r="A2" t="s">
        <v>16</v>
      </c>
      <c r="B2">
        <v>9.9600000000000009</v>
      </c>
      <c r="C2">
        <v>37.380000000000003</v>
      </c>
      <c r="D2">
        <v>100.31</v>
      </c>
      <c r="E2">
        <v>47.8</v>
      </c>
      <c r="F2">
        <v>21.16</v>
      </c>
      <c r="G2">
        <v>24.57</v>
      </c>
      <c r="H2" t="s">
        <v>17</v>
      </c>
    </row>
    <row r="3" spans="1:8" x14ac:dyDescent="0.3">
      <c r="A3" t="s">
        <v>18</v>
      </c>
      <c r="B3">
        <v>-2.66</v>
      </c>
      <c r="C3">
        <v>-3.05</v>
      </c>
      <c r="D3">
        <v>5.47</v>
      </c>
      <c r="E3">
        <v>9.7100000000000009</v>
      </c>
      <c r="F3">
        <v>9.8699999999999992</v>
      </c>
      <c r="G3">
        <v>9.4600000000000009</v>
      </c>
      <c r="H3" t="s">
        <v>17</v>
      </c>
    </row>
    <row r="4" spans="1:8" x14ac:dyDescent="0.3">
      <c r="A4" t="s">
        <v>19</v>
      </c>
      <c r="B4">
        <v>-3.85</v>
      </c>
      <c r="C4">
        <v>-6.28</v>
      </c>
      <c r="D4">
        <v>0.77</v>
      </c>
      <c r="E4">
        <v>12.71</v>
      </c>
      <c r="F4">
        <v>8.51</v>
      </c>
      <c r="G4">
        <v>8.1199999999999992</v>
      </c>
      <c r="H4" t="s">
        <v>17</v>
      </c>
    </row>
    <row r="5" spans="1:8" x14ac:dyDescent="0.3">
      <c r="A5" t="s">
        <v>20</v>
      </c>
      <c r="B5">
        <v>-2.2999999999999998</v>
      </c>
      <c r="C5">
        <v>-6.07</v>
      </c>
      <c r="D5">
        <v>9.77</v>
      </c>
      <c r="E5">
        <v>11.18</v>
      </c>
      <c r="F5">
        <v>10.73</v>
      </c>
      <c r="G5">
        <v>3.38</v>
      </c>
      <c r="H5" t="s">
        <v>17</v>
      </c>
    </row>
    <row r="6" spans="1:8" x14ac:dyDescent="0.3">
      <c r="A6" t="s">
        <v>21</v>
      </c>
      <c r="B6">
        <v>-2.64</v>
      </c>
      <c r="C6">
        <v>-10.119999999999999</v>
      </c>
      <c r="D6">
        <v>6.12</v>
      </c>
      <c r="E6">
        <v>14.64</v>
      </c>
      <c r="F6">
        <v>10.119999999999999</v>
      </c>
      <c r="G6">
        <v>11.46</v>
      </c>
      <c r="H6" t="s">
        <v>17</v>
      </c>
    </row>
    <row r="7" spans="1:8" x14ac:dyDescent="0.3">
      <c r="A7" t="s">
        <v>22</v>
      </c>
      <c r="B7">
        <v>1.64</v>
      </c>
      <c r="C7">
        <v>-2.71</v>
      </c>
      <c r="D7">
        <v>5.59</v>
      </c>
      <c r="E7">
        <v>1.08</v>
      </c>
      <c r="F7">
        <v>2.4500000000000002</v>
      </c>
      <c r="G7">
        <v>7.19</v>
      </c>
      <c r="H7" t="s">
        <v>17</v>
      </c>
    </row>
    <row r="8" spans="1:8" x14ac:dyDescent="0.3">
      <c r="A8" t="s">
        <v>23</v>
      </c>
      <c r="B8">
        <v>-0.56999999999999995</v>
      </c>
      <c r="C8">
        <v>-7.01</v>
      </c>
      <c r="D8">
        <v>5.44</v>
      </c>
      <c r="E8">
        <v>-3.37</v>
      </c>
      <c r="F8">
        <v>6.91</v>
      </c>
      <c r="G8">
        <v>4.24</v>
      </c>
      <c r="H8" t="s">
        <v>17</v>
      </c>
    </row>
    <row r="9" spans="1:8" x14ac:dyDescent="0.3">
      <c r="A9" t="s">
        <v>24</v>
      </c>
      <c r="B9">
        <v>-6.53</v>
      </c>
      <c r="C9">
        <v>-6.46</v>
      </c>
      <c r="D9">
        <v>3.85</v>
      </c>
      <c r="E9">
        <v>15.86</v>
      </c>
      <c r="F9">
        <v>15.3</v>
      </c>
      <c r="G9">
        <v>8.69</v>
      </c>
      <c r="H9" t="s">
        <v>17</v>
      </c>
    </row>
    <row r="10" spans="1:8" x14ac:dyDescent="0.3">
      <c r="A10" t="s">
        <v>25</v>
      </c>
      <c r="B10">
        <v>1.99</v>
      </c>
      <c r="C10">
        <v>-6.97</v>
      </c>
      <c r="D10">
        <v>-19.309999999999999</v>
      </c>
      <c r="E10">
        <v>-4.3</v>
      </c>
      <c r="F10">
        <v>-2.4</v>
      </c>
      <c r="G10">
        <v>7.93</v>
      </c>
      <c r="H10" t="s">
        <v>17</v>
      </c>
    </row>
    <row r="11" spans="1:8" x14ac:dyDescent="0.3">
      <c r="A11" t="s">
        <v>26</v>
      </c>
      <c r="B11">
        <v>-3.8</v>
      </c>
      <c r="C11">
        <v>-6.45</v>
      </c>
      <c r="D11">
        <v>0.83</v>
      </c>
      <c r="E11">
        <v>10.85</v>
      </c>
      <c r="F11">
        <v>9.25</v>
      </c>
      <c r="G11">
        <v>8.31</v>
      </c>
      <c r="H11" t="s">
        <v>17</v>
      </c>
    </row>
    <row r="12" spans="1:8" x14ac:dyDescent="0.3">
      <c r="A12" t="s">
        <v>27</v>
      </c>
      <c r="B12">
        <v>-11.58</v>
      </c>
      <c r="C12">
        <v>-20.71</v>
      </c>
      <c r="D12">
        <v>-17.079999999999998</v>
      </c>
      <c r="E12">
        <v>17.32</v>
      </c>
      <c r="F12">
        <v>3.92</v>
      </c>
      <c r="G12">
        <v>13.05</v>
      </c>
      <c r="H12" t="s">
        <v>17</v>
      </c>
    </row>
    <row r="13" spans="1:8" x14ac:dyDescent="0.3">
      <c r="A13" t="s">
        <v>28</v>
      </c>
      <c r="B13">
        <v>1.55</v>
      </c>
      <c r="C13">
        <v>12.37</v>
      </c>
      <c r="D13">
        <v>21.95</v>
      </c>
      <c r="E13">
        <v>8.27</v>
      </c>
      <c r="F13">
        <v>12.37</v>
      </c>
      <c r="G13">
        <v>16.170000000000002</v>
      </c>
      <c r="H13" t="s">
        <v>17</v>
      </c>
    </row>
    <row r="14" spans="1:8" x14ac:dyDescent="0.3">
      <c r="A14" t="s">
        <v>29</v>
      </c>
      <c r="B14">
        <v>-2.06</v>
      </c>
      <c r="C14">
        <v>-0.84</v>
      </c>
      <c r="D14">
        <v>14.88</v>
      </c>
      <c r="E14">
        <v>11.07</v>
      </c>
      <c r="F14">
        <v>13.37</v>
      </c>
      <c r="G14">
        <v>9.35</v>
      </c>
      <c r="H14" t="s">
        <v>17</v>
      </c>
    </row>
    <row r="15" spans="1:8" x14ac:dyDescent="0.3">
      <c r="A15" t="s">
        <v>30</v>
      </c>
      <c r="B15">
        <v>-1.27</v>
      </c>
      <c r="C15">
        <v>11.52</v>
      </c>
      <c r="D15">
        <v>27.42</v>
      </c>
      <c r="E15">
        <v>12.04</v>
      </c>
      <c r="F15">
        <v>10.76</v>
      </c>
      <c r="G15">
        <v>12.35</v>
      </c>
      <c r="H15" t="s">
        <v>17</v>
      </c>
    </row>
    <row r="16" spans="1:8" x14ac:dyDescent="0.3">
      <c r="A16" t="s">
        <v>31</v>
      </c>
      <c r="B16">
        <v>0.31</v>
      </c>
      <c r="C16">
        <v>1.59</v>
      </c>
      <c r="D16">
        <v>15.32</v>
      </c>
      <c r="E16">
        <v>11.44</v>
      </c>
      <c r="F16">
        <v>11.27</v>
      </c>
      <c r="G16">
        <v>12.31</v>
      </c>
      <c r="H16" t="s">
        <v>17</v>
      </c>
    </row>
    <row r="17" spans="1:8" x14ac:dyDescent="0.3">
      <c r="A17" t="s">
        <v>32</v>
      </c>
      <c r="B17">
        <v>-1.48</v>
      </c>
      <c r="C17">
        <v>3.84</v>
      </c>
      <c r="D17">
        <v>19.43</v>
      </c>
      <c r="E17">
        <v>11.49</v>
      </c>
      <c r="F17">
        <v>7.13</v>
      </c>
      <c r="G17">
        <v>8.9</v>
      </c>
      <c r="H17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tabSelected="1" workbookViewId="0">
      <selection activeCell="I12" sqref="I12"/>
    </sheetView>
  </sheetViews>
  <sheetFormatPr defaultRowHeight="14.4" x14ac:dyDescent="0.3"/>
  <cols>
    <col min="6" max="6" width="10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33</v>
      </c>
      <c r="B2">
        <v>6.0846087683628696</v>
      </c>
      <c r="C2">
        <v>21.372206037482702</v>
      </c>
      <c r="D2">
        <v>58.071934375761202</v>
      </c>
      <c r="E2">
        <v>35.190325807603401</v>
      </c>
      <c r="G2" t="s">
        <v>34</v>
      </c>
    </row>
    <row r="3" spans="1:7" x14ac:dyDescent="0.3">
      <c r="A3" t="s">
        <v>35</v>
      </c>
      <c r="B3">
        <v>17.287755161774498</v>
      </c>
      <c r="C3">
        <v>40.339914912695001</v>
      </c>
      <c r="D3">
        <v>83.153796041320405</v>
      </c>
      <c r="E3">
        <v>38.881111018811801</v>
      </c>
      <c r="G3" t="s">
        <v>34</v>
      </c>
    </row>
    <row r="4" spans="1:7" x14ac:dyDescent="0.3">
      <c r="A4" t="s">
        <v>36</v>
      </c>
      <c r="B4">
        <v>-16.439321234024199</v>
      </c>
      <c r="C4">
        <v>-17.093440854803902</v>
      </c>
      <c r="D4">
        <v>-6.89895773819583</v>
      </c>
      <c r="E4">
        <v>76.134447837004103</v>
      </c>
      <c r="G4" t="s">
        <v>34</v>
      </c>
    </row>
    <row r="5" spans="1:7" x14ac:dyDescent="0.3">
      <c r="A5" t="s">
        <v>37</v>
      </c>
      <c r="B5">
        <v>-21.2580440782064</v>
      </c>
      <c r="C5">
        <v>-31.735823644797598</v>
      </c>
      <c r="D5">
        <v>-19.7918462108649</v>
      </c>
      <c r="E5">
        <v>33.824110872472701</v>
      </c>
      <c r="G5" t="s">
        <v>34</v>
      </c>
    </row>
    <row r="6" spans="1:7" x14ac:dyDescent="0.3">
      <c r="A6" t="s">
        <v>38</v>
      </c>
      <c r="B6">
        <v>14.8863495973225</v>
      </c>
      <c r="C6">
        <v>31.687075566133199</v>
      </c>
      <c r="D6">
        <v>122.626767150326</v>
      </c>
      <c r="E6">
        <v>45.245566590797303</v>
      </c>
      <c r="G6" t="s">
        <v>34</v>
      </c>
    </row>
    <row r="7" spans="1:7" x14ac:dyDescent="0.3">
      <c r="A7" t="s">
        <v>39</v>
      </c>
      <c r="B7">
        <v>0.2</v>
      </c>
      <c r="C7">
        <v>5.64</v>
      </c>
      <c r="D7">
        <v>16.98</v>
      </c>
      <c r="E7">
        <v>20.72</v>
      </c>
      <c r="F7" s="2">
        <v>45991</v>
      </c>
      <c r="G7" t="s">
        <v>40</v>
      </c>
    </row>
    <row r="8" spans="1:7" x14ac:dyDescent="0.3">
      <c r="A8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5"/>
  <sheetViews>
    <sheetView workbookViewId="0"/>
  </sheetViews>
  <sheetFormatPr defaultRowHeight="14.4" x14ac:dyDescent="0.3"/>
  <sheetData>
    <row r="1" spans="1:1" x14ac:dyDescent="0.3">
      <c r="A1" s="1" t="s">
        <v>41</v>
      </c>
    </row>
    <row r="3" spans="1:1" x14ac:dyDescent="0.3">
      <c r="A3" t="s">
        <v>42</v>
      </c>
    </row>
    <row r="5" spans="1:1" x14ac:dyDescent="0.3">
      <c r="A5" t="s">
        <v>43</v>
      </c>
    </row>
    <row r="6" spans="1:1" x14ac:dyDescent="0.3">
      <c r="A6" t="s">
        <v>44</v>
      </c>
    </row>
    <row r="7" spans="1:1" x14ac:dyDescent="0.3">
      <c r="A7" t="s">
        <v>45</v>
      </c>
    </row>
    <row r="8" spans="1:1" x14ac:dyDescent="0.3">
      <c r="A8" t="s">
        <v>46</v>
      </c>
    </row>
    <row r="10" spans="1:1" x14ac:dyDescent="0.3">
      <c r="A10" t="s">
        <v>47</v>
      </c>
    </row>
    <row r="11" spans="1:1" x14ac:dyDescent="0.3">
      <c r="A11" t="s">
        <v>48</v>
      </c>
    </row>
    <row r="12" spans="1:1" x14ac:dyDescent="0.3">
      <c r="A12" t="s">
        <v>49</v>
      </c>
    </row>
    <row r="13" spans="1:1" x14ac:dyDescent="0.3">
      <c r="A13" t="s">
        <v>50</v>
      </c>
    </row>
    <row r="15" spans="1:1" x14ac:dyDescent="0.3">
      <c r="A15" t="s">
        <v>51</v>
      </c>
    </row>
    <row r="16" spans="1:1" x14ac:dyDescent="0.3">
      <c r="A16" t="s">
        <v>52</v>
      </c>
    </row>
    <row r="17" spans="1:1" x14ac:dyDescent="0.3">
      <c r="A17" t="s">
        <v>53</v>
      </c>
    </row>
    <row r="18" spans="1:1" x14ac:dyDescent="0.3">
      <c r="A18" t="s">
        <v>54</v>
      </c>
    </row>
    <row r="19" spans="1:1" x14ac:dyDescent="0.3">
      <c r="A19" t="s">
        <v>55</v>
      </c>
    </row>
    <row r="20" spans="1:1" x14ac:dyDescent="0.3">
      <c r="A20" t="s">
        <v>56</v>
      </c>
    </row>
    <row r="22" spans="1:1" x14ac:dyDescent="0.3">
      <c r="A22" t="s">
        <v>57</v>
      </c>
    </row>
    <row r="23" spans="1:1" x14ac:dyDescent="0.3">
      <c r="A23" t="s">
        <v>58</v>
      </c>
    </row>
    <row r="24" spans="1:1" x14ac:dyDescent="0.3">
      <c r="A24" t="s">
        <v>59</v>
      </c>
    </row>
    <row r="25" spans="1:1" x14ac:dyDescent="0.3">
      <c r="A25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CPI_Benchmarks</vt:lpstr>
      <vt:lpstr>GICS_Sectors</vt:lpstr>
      <vt:lpstr>Other_Manual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 Flora</cp:lastModifiedBy>
  <dcterms:created xsi:type="dcterms:W3CDTF">2025-12-10T04:08:43Z</dcterms:created>
  <dcterms:modified xsi:type="dcterms:W3CDTF">2025-12-17T04:42:34Z</dcterms:modified>
</cp:coreProperties>
</file>